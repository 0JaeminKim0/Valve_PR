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aeminkim/Downloads/"/>
    </mc:Choice>
  </mc:AlternateContent>
  <xr:revisionPtr revIDLastSave="0" documentId="13_ncr:1_{FBE6DB4D-3114-FC47-9DEB-A1EB033409C4}" xr6:coauthVersionLast="47" xr6:coauthVersionMax="47" xr10:uidLastSave="{00000000-0000-0000-0000-000000000000}"/>
  <bookViews>
    <workbookView xWindow="1020" yWindow="760" windowWidth="29220" windowHeight="18880" tabRatio="500" xr2:uid="{00000000-000D-0000-FFFF-FFFF00000000}"/>
  </bookViews>
  <sheets>
    <sheet name="LME 월평균 가격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1" l="1"/>
  <c r="B16" i="1"/>
  <c r="D15" i="1"/>
  <c r="B15" i="1"/>
  <c r="D14" i="1"/>
  <c r="B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C15" i="1" s="1"/>
  <c r="E3" i="1"/>
  <c r="E15" i="1" s="1"/>
  <c r="C3" i="1"/>
  <c r="E2" i="1"/>
  <c r="C2" i="1"/>
  <c r="C14" i="1" l="1"/>
  <c r="C16" i="1"/>
  <c r="E14" i="1"/>
  <c r="E16" i="1"/>
</calcChain>
</file>

<file path=xl/sharedStrings.xml><?xml version="1.0" encoding="utf-8"?>
<sst xmlns="http://schemas.openxmlformats.org/spreadsheetml/2006/main" count="33" uniqueCount="25">
  <si>
    <t>월</t>
  </si>
  <si>
    <r>
      <rPr>
        <b/>
        <sz val="11"/>
        <color rgb="FFFFFFFF"/>
        <rFont val="Noto Sans CJK SC"/>
        <family val="2"/>
      </rPr>
      <t xml:space="preserve">구리 </t>
    </r>
    <r>
      <rPr>
        <b/>
        <sz val="11"/>
        <color rgb="FFFFFFFF"/>
        <rFont val="Arial"/>
        <family val="2"/>
      </rPr>
      <t>(USD/</t>
    </r>
    <r>
      <rPr>
        <b/>
        <sz val="11"/>
        <color rgb="FFFFFFFF"/>
        <rFont val="Noto Sans CJK SC"/>
        <family val="2"/>
      </rPr>
      <t>톤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</si>
  <si>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 xml:space="preserve">구리 </t>
    </r>
    <r>
      <rPr>
        <b/>
        <sz val="11"/>
        <color rgb="FFFFFFFF"/>
        <rFont val="Arial"/>
        <family val="2"/>
      </rPr>
      <t>(USD/kg)</t>
    </r>
  </si>
  <si>
    <r>
      <rPr>
        <b/>
        <sz val="11"/>
        <color rgb="FFFFFFFF"/>
        <rFont val="Noto Sans CJK SC"/>
        <family val="2"/>
      </rPr>
      <t xml:space="preserve">주석 </t>
    </r>
    <r>
      <rPr>
        <b/>
        <sz val="11"/>
        <color rgb="FFFFFFFF"/>
        <rFont val="Arial"/>
        <family val="2"/>
      </rPr>
      <t>(USD/</t>
    </r>
    <r>
      <rPr>
        <b/>
        <sz val="11"/>
        <color rgb="FFFFFFFF"/>
        <rFont val="Noto Sans CJK SC"/>
        <family val="2"/>
      </rPr>
      <t>톤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</si>
  <si>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 xml:space="preserve">주석 </t>
    </r>
    <r>
      <rPr>
        <b/>
        <sz val="11"/>
        <color rgb="FFFFFFFF"/>
        <rFont val="Arial"/>
        <family val="2"/>
      </rPr>
      <t>(USD/kg)</t>
    </r>
  </si>
  <si>
    <t>비고</t>
  </si>
  <si>
    <r>
      <rPr>
        <sz val="11"/>
        <rFont val="Arial"/>
        <family val="2"/>
      </rPr>
      <t>1</t>
    </r>
    <r>
      <rPr>
        <sz val="11"/>
        <rFont val="Noto Sans CJK SC"/>
        <family val="2"/>
      </rPr>
      <t>월</t>
    </r>
  </si>
  <si>
    <r>
      <rPr>
        <sz val="11"/>
        <rFont val="Arial"/>
        <family val="2"/>
      </rPr>
      <t>ZAMAK</t>
    </r>
    <r>
      <rPr>
        <sz val="11"/>
        <rFont val="Noto Sans CJK SC"/>
        <family val="2"/>
      </rPr>
      <t>일별계산</t>
    </r>
    <r>
      <rPr>
        <sz val="11"/>
        <rFont val="Arial"/>
        <family val="2"/>
      </rPr>
      <t>(Cu), Westmetall(Sn)</t>
    </r>
  </si>
  <si>
    <r>
      <rPr>
        <sz val="11"/>
        <rFont val="Arial"/>
        <family val="2"/>
      </rPr>
      <t>2</t>
    </r>
    <r>
      <rPr>
        <sz val="11"/>
        <rFont val="Noto Sans CJK SC"/>
        <family val="2"/>
      </rPr>
      <t>월</t>
    </r>
  </si>
  <si>
    <r>
      <rPr>
        <sz val="11"/>
        <rFont val="Arial"/>
        <family val="2"/>
      </rPr>
      <t>3</t>
    </r>
    <r>
      <rPr>
        <sz val="11"/>
        <rFont val="Noto Sans CJK SC"/>
        <family val="2"/>
      </rPr>
      <t>월</t>
    </r>
  </si>
  <si>
    <r>
      <rPr>
        <sz val="11"/>
        <rFont val="Arial"/>
        <family val="2"/>
      </rPr>
      <t>4</t>
    </r>
    <r>
      <rPr>
        <sz val="11"/>
        <rFont val="Noto Sans CJK SC"/>
        <family val="2"/>
      </rPr>
      <t>월</t>
    </r>
  </si>
  <si>
    <r>
      <rPr>
        <sz val="11"/>
        <rFont val="Arial"/>
        <family val="2"/>
      </rPr>
      <t>5</t>
    </r>
    <r>
      <rPr>
        <sz val="11"/>
        <rFont val="Noto Sans CJK SC"/>
        <family val="2"/>
      </rPr>
      <t>월</t>
    </r>
  </si>
  <si>
    <t>FRED/IMF(Cu), Westmetall(Sn)</t>
  </si>
  <si>
    <r>
      <rPr>
        <sz val="11"/>
        <rFont val="Arial"/>
        <family val="2"/>
      </rPr>
      <t>6</t>
    </r>
    <r>
      <rPr>
        <sz val="11"/>
        <rFont val="Noto Sans CJK SC"/>
        <family val="2"/>
      </rPr>
      <t>월</t>
    </r>
  </si>
  <si>
    <r>
      <rPr>
        <sz val="11"/>
        <rFont val="Arial"/>
        <family val="2"/>
      </rPr>
      <t>7</t>
    </r>
    <r>
      <rPr>
        <sz val="11"/>
        <rFont val="Noto Sans CJK SC"/>
        <family val="2"/>
      </rPr>
      <t>월</t>
    </r>
  </si>
  <si>
    <r>
      <rPr>
        <sz val="11"/>
        <rFont val="Arial"/>
        <family val="2"/>
      </rPr>
      <t>FRED/IMF</t>
    </r>
    <r>
      <rPr>
        <sz val="11"/>
        <rFont val="Noto Sans CJK SC"/>
        <family val="2"/>
      </rPr>
      <t>추정</t>
    </r>
    <r>
      <rPr>
        <sz val="11"/>
        <rFont val="Arial"/>
        <family val="2"/>
      </rPr>
      <t>(Cu), Westmetall(Sn)</t>
    </r>
  </si>
  <si>
    <r>
      <rPr>
        <sz val="11"/>
        <rFont val="Arial"/>
        <family val="2"/>
      </rPr>
      <t>8</t>
    </r>
    <r>
      <rPr>
        <sz val="11"/>
        <rFont val="Noto Sans CJK SC"/>
        <family val="2"/>
      </rPr>
      <t>월</t>
    </r>
  </si>
  <si>
    <r>
      <rPr>
        <sz val="11"/>
        <rFont val="Arial"/>
        <family val="2"/>
      </rPr>
      <t>9</t>
    </r>
    <r>
      <rPr>
        <sz val="11"/>
        <rFont val="Noto Sans CJK SC"/>
        <family val="2"/>
      </rPr>
      <t>월</t>
    </r>
  </si>
  <si>
    <r>
      <rPr>
        <sz val="11"/>
        <rFont val="Arial"/>
        <family val="2"/>
      </rPr>
      <t>10</t>
    </r>
    <r>
      <rPr>
        <sz val="11"/>
        <rFont val="Noto Sans CJK SC"/>
        <family val="2"/>
      </rPr>
      <t>월</t>
    </r>
  </si>
  <si>
    <r>
      <rPr>
        <sz val="11"/>
        <rFont val="Arial"/>
        <family val="2"/>
      </rPr>
      <t>11</t>
    </r>
    <r>
      <rPr>
        <sz val="11"/>
        <rFont val="Noto Sans CJK SC"/>
        <family val="2"/>
      </rPr>
      <t>월</t>
    </r>
  </si>
  <si>
    <r>
      <rPr>
        <sz val="11"/>
        <rFont val="Arial"/>
        <family val="2"/>
      </rPr>
      <t>Westmetall</t>
    </r>
    <r>
      <rPr>
        <sz val="11"/>
        <rFont val="Noto Sans CJK SC"/>
        <family val="2"/>
      </rPr>
      <t>일별계산</t>
    </r>
    <r>
      <rPr>
        <sz val="11"/>
        <rFont val="Arial"/>
        <family val="2"/>
      </rPr>
      <t>(Cu), Westmetall(Sn)</t>
    </r>
  </si>
  <si>
    <r>
      <rPr>
        <sz val="11"/>
        <rFont val="Arial"/>
        <family val="2"/>
      </rPr>
      <t>12</t>
    </r>
    <r>
      <rPr>
        <sz val="11"/>
        <rFont val="Noto Sans CJK SC"/>
        <family val="2"/>
      </rPr>
      <t>월</t>
    </r>
  </si>
  <si>
    <t>연평균</t>
  </si>
  <si>
    <t>최저</t>
  </si>
  <si>
    <t>최고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</si>
</sst>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name val="Noto Sans CJK SC"/>
      <family val="2"/>
    </font>
    <font>
      <b/>
      <sz val="11"/>
      <name val="Noto Sans CJK SC"/>
      <family val="2"/>
    </font>
    <font>
      <b/>
      <sz val="11"/>
      <name val="Arial"/>
      <family val="2"/>
    </font>
    <font>
      <b/>
      <sz val="11"/>
      <color rgb="FF333333"/>
      <name val="Noto Sans CJK SC"/>
      <family val="2"/>
    </font>
    <font>
      <b/>
      <sz val="11"/>
      <color rgb="FF333333"/>
      <name val="Arial"/>
      <family val="2"/>
    </font>
    <font>
      <b/>
      <sz val="10"/>
      <name val="Noto Sans CJK SC"/>
      <family val="2"/>
    </font>
    <font>
      <sz val="9"/>
      <color rgb="FF555555"/>
      <name val="Arial"/>
      <family val="2"/>
    </font>
    <font>
      <sz val="9"/>
      <color rgb="FF555555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right" vertical="center"/>
    </xf>
    <xf numFmtId="4" fontId="6" fillId="4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right" vertical="center"/>
    </xf>
    <xf numFmtId="4" fontId="8" fillId="5" borderId="1" xfId="0" applyNumberFormat="1" applyFont="1" applyFill="1" applyBorder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339966"/>
      <rgbColor rgb="FF003300"/>
      <rgbColor rgb="FF555555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workbookViewId="0">
      <selection activeCell="D18" sqref="D18"/>
    </sheetView>
  </sheetViews>
  <sheetFormatPr baseColWidth="10" defaultColWidth="8.6640625" defaultRowHeight="15"/>
  <cols>
    <col min="1" max="1" width="10" customWidth="1"/>
    <col min="2" max="2" width="18" customWidth="1"/>
    <col min="3" max="3" width="16" customWidth="1"/>
    <col min="4" max="4" width="18" customWidth="1"/>
    <col min="5" max="5" width="16" customWidth="1"/>
    <col min="6" max="6" width="3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8978</v>
      </c>
      <c r="C2" s="4">
        <f t="shared" ref="C2:C13" si="0">B2/1000</f>
        <v>8.9779999999999998</v>
      </c>
      <c r="D2" s="3">
        <v>29618</v>
      </c>
      <c r="E2" s="4">
        <f t="shared" ref="E2:E13" si="1">D2/1000</f>
        <v>29.617999999999999</v>
      </c>
      <c r="F2" s="2" t="s">
        <v>7</v>
      </c>
    </row>
    <row r="3" spans="1:6">
      <c r="A3" s="5" t="s">
        <v>8</v>
      </c>
      <c r="B3" s="6">
        <v>9329</v>
      </c>
      <c r="C3" s="7">
        <f t="shared" si="0"/>
        <v>9.3290000000000006</v>
      </c>
      <c r="D3" s="6">
        <v>31876</v>
      </c>
      <c r="E3" s="7">
        <f t="shared" si="1"/>
        <v>31.876000000000001</v>
      </c>
      <c r="F3" s="5" t="s">
        <v>7</v>
      </c>
    </row>
    <row r="4" spans="1:6">
      <c r="A4" s="2" t="s">
        <v>9</v>
      </c>
      <c r="B4" s="3">
        <v>9731</v>
      </c>
      <c r="C4" s="4">
        <f t="shared" si="0"/>
        <v>9.7309999999999999</v>
      </c>
      <c r="D4" s="3">
        <v>34026</v>
      </c>
      <c r="E4" s="4">
        <f t="shared" si="1"/>
        <v>34.026000000000003</v>
      </c>
      <c r="F4" s="2" t="s">
        <v>7</v>
      </c>
    </row>
    <row r="5" spans="1:6">
      <c r="A5" s="5" t="s">
        <v>10</v>
      </c>
      <c r="B5" s="6">
        <v>9164</v>
      </c>
      <c r="C5" s="7">
        <f t="shared" si="0"/>
        <v>9.1639999999999997</v>
      </c>
      <c r="D5" s="6">
        <v>32691</v>
      </c>
      <c r="E5" s="7">
        <f t="shared" si="1"/>
        <v>32.691000000000003</v>
      </c>
      <c r="F5" s="5" t="s">
        <v>7</v>
      </c>
    </row>
    <row r="6" spans="1:6">
      <c r="A6" s="2" t="s">
        <v>11</v>
      </c>
      <c r="B6" s="3">
        <v>9531</v>
      </c>
      <c r="C6" s="4">
        <f t="shared" si="0"/>
        <v>9.5310000000000006</v>
      </c>
      <c r="D6" s="3">
        <v>32144</v>
      </c>
      <c r="E6" s="4">
        <f t="shared" si="1"/>
        <v>32.143999999999998</v>
      </c>
      <c r="F6" s="2" t="s">
        <v>12</v>
      </c>
    </row>
    <row r="7" spans="1:6">
      <c r="A7" s="5" t="s">
        <v>13</v>
      </c>
      <c r="B7" s="6">
        <v>9835</v>
      </c>
      <c r="C7" s="7">
        <f t="shared" si="0"/>
        <v>9.8350000000000009</v>
      </c>
      <c r="D7" s="6">
        <v>32475</v>
      </c>
      <c r="E7" s="7">
        <f t="shared" si="1"/>
        <v>32.475000000000001</v>
      </c>
      <c r="F7" s="5" t="s">
        <v>12</v>
      </c>
    </row>
    <row r="8" spans="1:6">
      <c r="A8" s="2" t="s">
        <v>14</v>
      </c>
      <c r="B8" s="3">
        <v>9950</v>
      </c>
      <c r="C8" s="4">
        <f t="shared" si="0"/>
        <v>9.9499999999999993</v>
      </c>
      <c r="D8" s="3">
        <v>33693</v>
      </c>
      <c r="E8" s="4">
        <f t="shared" si="1"/>
        <v>33.692999999999998</v>
      </c>
      <c r="F8" s="2" t="s">
        <v>15</v>
      </c>
    </row>
    <row r="9" spans="1:6">
      <c r="A9" s="5" t="s">
        <v>16</v>
      </c>
      <c r="B9" s="6">
        <v>9700</v>
      </c>
      <c r="C9" s="7">
        <f t="shared" si="0"/>
        <v>9.6999999999999993</v>
      </c>
      <c r="D9" s="6">
        <v>33870</v>
      </c>
      <c r="E9" s="7">
        <f t="shared" si="1"/>
        <v>33.869999999999997</v>
      </c>
      <c r="F9" s="5" t="s">
        <v>15</v>
      </c>
    </row>
    <row r="10" spans="1:6">
      <c r="A10" s="2" t="s">
        <v>17</v>
      </c>
      <c r="B10" s="3">
        <v>10200</v>
      </c>
      <c r="C10" s="4">
        <f t="shared" si="0"/>
        <v>10.199999999999999</v>
      </c>
      <c r="D10" s="3">
        <v>34540</v>
      </c>
      <c r="E10" s="4">
        <f t="shared" si="1"/>
        <v>34.54</v>
      </c>
      <c r="F10" s="2" t="s">
        <v>15</v>
      </c>
    </row>
    <row r="11" spans="1:6">
      <c r="A11" s="5" t="s">
        <v>18</v>
      </c>
      <c r="B11" s="6">
        <v>10500</v>
      </c>
      <c r="C11" s="7">
        <f t="shared" si="0"/>
        <v>10.5</v>
      </c>
      <c r="D11" s="6">
        <v>36046</v>
      </c>
      <c r="E11" s="7">
        <f t="shared" si="1"/>
        <v>36.045999999999999</v>
      </c>
      <c r="F11" s="5" t="s">
        <v>15</v>
      </c>
    </row>
    <row r="12" spans="1:6">
      <c r="A12" s="2" t="s">
        <v>19</v>
      </c>
      <c r="B12" s="3">
        <v>10826</v>
      </c>
      <c r="C12" s="4">
        <f t="shared" si="0"/>
        <v>10.826000000000001</v>
      </c>
      <c r="D12" s="3">
        <v>37016</v>
      </c>
      <c r="E12" s="4">
        <f t="shared" si="1"/>
        <v>37.015999999999998</v>
      </c>
      <c r="F12" s="2" t="s">
        <v>20</v>
      </c>
    </row>
    <row r="13" spans="1:6">
      <c r="A13" s="5" t="s">
        <v>21</v>
      </c>
      <c r="B13" s="6">
        <v>11791</v>
      </c>
      <c r="C13" s="7">
        <f t="shared" si="0"/>
        <v>11.791</v>
      </c>
      <c r="D13" s="6">
        <v>41352</v>
      </c>
      <c r="E13" s="7">
        <f t="shared" si="1"/>
        <v>41.351999999999997</v>
      </c>
      <c r="F13" s="5" t="s">
        <v>12</v>
      </c>
    </row>
    <row r="14" spans="1:6">
      <c r="A14" s="8" t="s">
        <v>22</v>
      </c>
      <c r="B14" s="9">
        <f>AVERAGE(B2:B13)</f>
        <v>9961.25</v>
      </c>
      <c r="C14" s="10">
        <f>AVERAGE(C2:C13)</f>
        <v>9.9612499999999997</v>
      </c>
      <c r="D14" s="9">
        <f>AVERAGE(D2:D13)</f>
        <v>34112.25</v>
      </c>
      <c r="E14" s="10">
        <f>AVERAGE(E2:E13)</f>
        <v>34.112250000000003</v>
      </c>
      <c r="F14" s="8"/>
    </row>
    <row r="15" spans="1:6">
      <c r="A15" s="11" t="s">
        <v>23</v>
      </c>
      <c r="B15" s="12">
        <f>MIN(B2:B13)</f>
        <v>8978</v>
      </c>
      <c r="C15" s="13">
        <f>MIN(C2:C13)</f>
        <v>8.9779999999999998</v>
      </c>
      <c r="D15" s="12">
        <f>MIN(D2:D13)</f>
        <v>29618</v>
      </c>
      <c r="E15" s="13">
        <f>MIN(E2:E13)</f>
        <v>29.617999999999999</v>
      </c>
      <c r="F15" s="11"/>
    </row>
    <row r="16" spans="1:6">
      <c r="A16" s="11" t="s">
        <v>24</v>
      </c>
      <c r="B16" s="12">
        <f>MAX(B2:B13)</f>
        <v>11791</v>
      </c>
      <c r="C16" s="13">
        <f>MAX(C2:C13)</f>
        <v>11.791</v>
      </c>
      <c r="D16" s="12">
        <f>MAX(D2:D13)</f>
        <v>41352</v>
      </c>
      <c r="E16" s="13">
        <f>MAX(E2:E13)</f>
        <v>41.351999999999997</v>
      </c>
      <c r="F16" s="11"/>
    </row>
    <row r="18" spans="1:1">
      <c r="A18" s="14"/>
    </row>
    <row r="19" spans="1:1">
      <c r="A19" s="15"/>
    </row>
    <row r="20" spans="1:1">
      <c r="A20" s="16"/>
    </row>
    <row r="21" spans="1:1">
      <c r="A21" s="16"/>
    </row>
    <row r="22" spans="1:1">
      <c r="A22" s="1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LME 월평균 가격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Jaemin KIM</cp:lastModifiedBy>
  <cp:revision>0</cp:revision>
  <dcterms:created xsi:type="dcterms:W3CDTF">2026-02-06T07:21:44Z</dcterms:created>
  <dcterms:modified xsi:type="dcterms:W3CDTF">2026-02-09T00:11:09Z</dcterms:modified>
  <dc:language>en-US</dc:language>
</cp:coreProperties>
</file>